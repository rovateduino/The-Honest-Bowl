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Projetos AI\Ambiente Teste\The Honest Bowl\public\"/>
    </mc:Choice>
  </mc:AlternateContent>
  <xr:revisionPtr revIDLastSave="0" documentId="13_ncr:1_{9665FEA3-D614-4FD4-827D-64094850AA6E}" xr6:coauthVersionLast="47" xr6:coauthVersionMax="47" xr10:uidLastSave="{00000000-0000-0000-0000-000000000000}"/>
  <bookViews>
    <workbookView xWindow="-120" yWindow="-120" windowWidth="20730" windowHeight="11040" tabRatio="500" activeTab="2" xr2:uid="{00000000-000D-0000-FFFF-FFFF00000000}"/>
  </bookViews>
  <sheets>
    <sheet name="Calculator" sheetId="1" r:id="rId1"/>
    <sheet name="Lookup" sheetId="2" r:id="rId2"/>
    <sheet name="Quick Reference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7" i="3" l="1"/>
  <c r="G17" i="3"/>
  <c r="F17" i="3"/>
  <c r="E17" i="3"/>
  <c r="D17" i="3"/>
  <c r="C17" i="3"/>
  <c r="H16" i="3"/>
  <c r="G16" i="3"/>
  <c r="F16" i="3"/>
  <c r="E16" i="3"/>
  <c r="D16" i="3"/>
  <c r="C16" i="3"/>
  <c r="H15" i="3"/>
  <c r="G15" i="3"/>
  <c r="F15" i="3"/>
  <c r="E15" i="3"/>
  <c r="D15" i="3"/>
  <c r="C15" i="3"/>
  <c r="H14" i="3"/>
  <c r="G14" i="3"/>
  <c r="F14" i="3"/>
  <c r="E14" i="3"/>
  <c r="D14" i="3"/>
  <c r="C14" i="3"/>
  <c r="H13" i="3"/>
  <c r="G13" i="3"/>
  <c r="F13" i="3"/>
  <c r="E13" i="3"/>
  <c r="D13" i="3"/>
  <c r="C13" i="3"/>
  <c r="H12" i="3"/>
  <c r="G12" i="3"/>
  <c r="F12" i="3"/>
  <c r="E12" i="3"/>
  <c r="D12" i="3"/>
  <c r="C12" i="3"/>
  <c r="H11" i="3"/>
  <c r="G11" i="3"/>
  <c r="F11" i="3"/>
  <c r="E11" i="3"/>
  <c r="D11" i="3"/>
  <c r="C11" i="3"/>
  <c r="H10" i="3"/>
  <c r="G10" i="3"/>
  <c r="F10" i="3"/>
  <c r="E10" i="3"/>
  <c r="D10" i="3"/>
  <c r="C10" i="3"/>
  <c r="H9" i="3"/>
  <c r="G9" i="3"/>
  <c r="F9" i="3"/>
  <c r="E9" i="3"/>
  <c r="D9" i="3"/>
  <c r="C9" i="3"/>
  <c r="H8" i="3"/>
  <c r="G8" i="3"/>
  <c r="F8" i="3"/>
  <c r="E8" i="3"/>
  <c r="D8" i="3"/>
  <c r="C8" i="3"/>
  <c r="H7" i="3"/>
  <c r="G7" i="3"/>
  <c r="F7" i="3"/>
  <c r="E7" i="3"/>
  <c r="D7" i="3"/>
  <c r="C7" i="3"/>
  <c r="H6" i="3"/>
  <c r="G6" i="3"/>
  <c r="F6" i="3"/>
  <c r="E6" i="3"/>
  <c r="D6" i="3"/>
  <c r="C6" i="3"/>
  <c r="C15" i="1"/>
  <c r="C16" i="1" s="1"/>
  <c r="C17" i="1" l="1"/>
  <c r="D21" i="1"/>
  <c r="D22" i="1"/>
  <c r="D23" i="1"/>
  <c r="E21" i="1" l="1"/>
  <c r="E22" i="1"/>
  <c r="E2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12" authorId="0" shapeId="0" xr:uid="{00000000-0006-0000-0000-000001000000}">
      <text>
        <r>
          <rPr>
            <sz val="10"/>
            <rFont val="Arial"/>
            <family val="2"/>
          </rPr>
          <t>Leave blank to use the recommended % for the selected life stage. Fill in only if you and your vet have agreed on a different ratio (e.g. after 2-3 weeks of observing weight trend, per Chapter 2 of the guide).</t>
        </r>
      </text>
    </comment>
  </commentList>
</comments>
</file>

<file path=xl/sharedStrings.xml><?xml version="1.0" encoding="utf-8"?>
<sst xmlns="http://schemas.openxmlformats.org/spreadsheetml/2006/main" count="51" uniqueCount="43">
  <si>
    <t>Exact Portion Calculator — Natural Feeding for Dogs</t>
  </si>
  <si>
    <t>HOW TO USE — Edit only the blue cells below (weight, life stage, meals per day). Everything else recalculates automatically. This is a starting point — fine-tune based on your dog's body condition over 2-3 weeks (see Chapter 2 of the guide).</t>
  </si>
  <si>
    <t>1. YOUR DOG</t>
  </si>
  <si>
    <t>Dog's Weight (kg)</t>
  </si>
  <si>
    <t>Life Stage / Activity Level</t>
  </si>
  <si>
    <t>Adult - Normal Activity</t>
  </si>
  <si>
    <t>Meals per Day</t>
  </si>
  <si>
    <t>Manual Override — % of Body Weight</t>
  </si>
  <si>
    <t>2. YOUR DOG'S DAILY PLAN</t>
  </si>
  <si>
    <t>Recommended % of Body Weight Used</t>
  </si>
  <si>
    <t>Daily Food Total (grams)</t>
  </si>
  <si>
    <t>Per Meal (grams)</t>
  </si>
  <si>
    <t>3. BOWL BREAKDOWN (Chapter 4 ratio: 50 / 30 / 20)</t>
  </si>
  <si>
    <t>Component</t>
  </si>
  <si>
    <t>% of Bowl</t>
  </si>
  <si>
    <t>Grams / Day</t>
  </si>
  <si>
    <t>Grams / Meal</t>
  </si>
  <si>
    <t>Animal Protein</t>
  </si>
  <si>
    <t>Vegetables</t>
  </si>
  <si>
    <t>Carbohydrate</t>
  </si>
  <si>
    <t>⚠ CALCIUM REMINDER — Add a calcium source (ground eggshell, bone meal, or a vet-approved supplement) to every main meal. This calculator does not include calcium dosing — see Chapter 2.2 and Chapter 4.4 of the guide for how to calculate it, or ask your veterinarian to confirm the amount for your dog.</t>
  </si>
  <si>
    <t>Canine Natural Nutrition — companion workbook to the Natural Feeding for Dogs guide</t>
  </si>
  <si>
    <t>Recommended %</t>
  </si>
  <si>
    <t>Notes</t>
  </si>
  <si>
    <t>Puppy - Growth</t>
  </si>
  <si>
    <t>4-5% range (Ch.2) — use higher end for very young / rapid growth</t>
  </si>
  <si>
    <t>Pregnant / Lactating / Very Active</t>
  </si>
  <si>
    <t>Highest end of range — monitor body condition closely</t>
  </si>
  <si>
    <t>Adult - Sedentary / Overweight</t>
  </si>
  <si>
    <t>1.5-2% range (Ch.2) — for weight management</t>
  </si>
  <si>
    <t>2-3% range (Ch.2) — typical healthy adult dog</t>
  </si>
  <si>
    <t>Adult - Active / Working</t>
  </si>
  <si>
    <t>Top of the 2-3% range — high activity level</t>
  </si>
  <si>
    <t>Senior - Low Activity</t>
  </si>
  <si>
    <t>1.5-2% range (Ch.2) — easily digestible, lower calorie</t>
  </si>
  <si>
    <t>Senior - Active</t>
  </si>
  <si>
    <t>Still within senior range, more active seniors</t>
  </si>
  <si>
    <t>Source: Natural Feeding for Dogs — Chapter 2.5 (portion ranges) and Chapter 4.1 (bowl ratio).</t>
  </si>
  <si>
    <t>QUICK REFERENCE — Daily Food Total (grams) by Weight &amp; Life Stage</t>
  </si>
  <si>
    <t>All values calculated live from the Lookup sheet — for a precise, personalized result use the Calculator tab.</t>
  </si>
  <si>
    <t>Weight (kg)</t>
  </si>
  <si>
    <t>The-Honest-Bowl-Exact-Portion-Calculator-Workbook</t>
  </si>
  <si>
    <t>companion workbook to the Natural Feeding for Dogs guide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</si>
</sst>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&quot; g&quot;"/>
  </numFmts>
  <fonts count="21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i/>
      <sz val="11"/>
      <color rgb="FFFFFFFF"/>
      <name val="Arial"/>
      <charset val="1"/>
    </font>
    <font>
      <i/>
      <sz val="9.5"/>
      <color rgb="FF5B5347"/>
      <name val="Arial"/>
      <charset val="1"/>
    </font>
    <font>
      <b/>
      <sz val="11"/>
      <color rgb="FFFFFFFF"/>
      <name val="Arial"/>
      <charset val="1"/>
    </font>
    <font>
      <b/>
      <sz val="11"/>
      <color rgb="FF2E2A25"/>
      <name val="Arial"/>
      <charset val="1"/>
    </font>
    <font>
      <b/>
      <sz val="12"/>
      <color rgb="FF1155CC"/>
      <name val="Arial"/>
      <charset val="1"/>
    </font>
    <font>
      <b/>
      <sz val="11"/>
      <color rgb="FF1155CC"/>
      <name val="Arial"/>
      <charset val="1"/>
    </font>
    <font>
      <i/>
      <sz val="11"/>
      <color rgb="FF2E2A25"/>
      <name val="Arial"/>
      <charset val="1"/>
    </font>
    <font>
      <sz val="11"/>
      <color rgb="FF2E2A25"/>
      <name val="Arial"/>
      <charset val="1"/>
    </font>
    <font>
      <b/>
      <sz val="12"/>
      <color rgb="FF2E2A25"/>
      <name val="Arial"/>
      <charset val="1"/>
    </font>
    <font>
      <b/>
      <sz val="14"/>
      <color rgb="FF8E3B22"/>
      <name val="Arial"/>
      <charset val="1"/>
    </font>
    <font>
      <b/>
      <sz val="10"/>
      <color rgb="FF2E2A25"/>
      <name val="Arial"/>
      <charset val="1"/>
    </font>
    <font>
      <sz val="9.5"/>
      <color rgb="FF8E3B22"/>
      <name val="Arial"/>
      <charset val="1"/>
    </font>
    <font>
      <i/>
      <sz val="8.5"/>
      <color rgb="FF5B5347"/>
      <name val="Arial"/>
      <charset val="1"/>
    </font>
    <font>
      <sz val="10"/>
      <name val="Arial"/>
      <family val="2"/>
    </font>
    <font>
      <b/>
      <sz val="10"/>
      <color rgb="FFFFFFFF"/>
      <name val="Arial"/>
      <charset val="1"/>
    </font>
    <font>
      <i/>
      <sz val="9"/>
      <color rgb="FF5B5347"/>
      <name val="Arial"/>
      <charset val="1"/>
    </font>
    <font>
      <b/>
      <sz val="13"/>
      <color rgb="FFFFFFFF"/>
      <name val="Arial"/>
      <charset val="1"/>
    </font>
    <font>
      <b/>
      <sz val="9.5"/>
      <color rgb="FFFFFFFF"/>
      <name val="Arial"/>
      <charset val="1"/>
    </font>
    <font>
      <b/>
      <sz val="9"/>
      <color rgb="FFFFFFFF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8E3B22"/>
        <bgColor rgb="FF993366"/>
      </patternFill>
    </fill>
    <fill>
      <patternFill patternType="solid">
        <fgColor rgb="FFF8E9C7"/>
        <bgColor rgb="FFF3E9D3"/>
      </patternFill>
    </fill>
    <fill>
      <patternFill patternType="solid">
        <fgColor rgb="FF71875F"/>
        <bgColor rgb="FF969696"/>
      </patternFill>
    </fill>
    <fill>
      <patternFill patternType="solid">
        <fgColor rgb="FFF3E9D3"/>
        <bgColor rgb="FFF8E9C7"/>
      </patternFill>
    </fill>
    <fill>
      <patternFill patternType="solid">
        <fgColor rgb="FFB5502E"/>
        <bgColor rgb="FF8E3B22"/>
      </patternFill>
    </fill>
    <fill>
      <patternFill patternType="solid">
        <fgColor rgb="FFF6DDD6"/>
        <bgColor rgb="FFF3E9D3"/>
      </patternFill>
    </fill>
    <fill>
      <patternFill patternType="solid">
        <fgColor rgb="FFFBF6EC"/>
        <bgColor rgb="FFFFFFFF"/>
      </patternFill>
    </fill>
  </fills>
  <borders count="2">
    <border>
      <left/>
      <right/>
      <top/>
      <bottom/>
      <diagonal/>
    </border>
    <border>
      <left style="thin">
        <color rgb="FFD9C79E"/>
      </left>
      <right style="thin">
        <color rgb="FFD9C79E"/>
      </right>
      <top style="thin">
        <color rgb="FFD9C79E"/>
      </top>
      <bottom style="thin">
        <color rgb="FFD9C79E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4" fillId="0" borderId="0" xfId="0" applyFont="1"/>
    <xf numFmtId="0" fontId="17" fillId="0" borderId="0" xfId="0" applyFont="1"/>
    <xf numFmtId="0" fontId="18" fillId="2" borderId="0" xfId="0" applyFont="1" applyFill="1"/>
    <xf numFmtId="0" fontId="14" fillId="0" borderId="0" xfId="0" applyFont="1" applyAlignment="1">
      <alignment horizontal="left" indent="1"/>
    </xf>
    <xf numFmtId="0" fontId="13" fillId="7" borderId="0" xfId="0" applyFont="1" applyFill="1" applyAlignment="1">
      <alignment horizontal="left" vertical="top" wrapText="1" indent="1"/>
    </xf>
    <xf numFmtId="165" fontId="5" fillId="0" borderId="0" xfId="0" applyNumberFormat="1" applyFont="1"/>
    <xf numFmtId="165" fontId="11" fillId="0" borderId="0" xfId="0" applyNumberFormat="1" applyFont="1" applyAlignment="1">
      <alignment horizontal="left" indent="1"/>
    </xf>
    <xf numFmtId="164" fontId="5" fillId="0" borderId="0" xfId="0" applyNumberFormat="1" applyFont="1"/>
    <xf numFmtId="0" fontId="4" fillId="6" borderId="0" xfId="0" applyFont="1" applyFill="1" applyAlignment="1">
      <alignment vertical="center" indent="1"/>
    </xf>
    <xf numFmtId="0" fontId="7" fillId="5" borderId="1" xfId="0" applyFont="1" applyFill="1" applyBorder="1" applyAlignment="1">
      <alignment horizontal="center"/>
    </xf>
    <xf numFmtId="0" fontId="4" fillId="4" borderId="0" xfId="0" applyFont="1" applyFill="1" applyAlignment="1">
      <alignment vertical="center" indent="1"/>
    </xf>
    <xf numFmtId="0" fontId="3" fillId="3" borderId="0" xfId="0" applyFont="1" applyFill="1" applyAlignment="1">
      <alignment horizontal="left" vertical="top" wrapText="1" indent="1"/>
    </xf>
    <xf numFmtId="0" fontId="2" fillId="2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5" fillId="0" borderId="0" xfId="0" applyFont="1"/>
    <xf numFmtId="0" fontId="6" fillId="5" borderId="1" xfId="0" applyFont="1" applyFill="1" applyBorder="1" applyAlignment="1">
      <alignment horizontal="center"/>
    </xf>
    <xf numFmtId="0" fontId="8" fillId="0" borderId="0" xfId="0" applyFont="1"/>
    <xf numFmtId="164" fontId="7" fillId="5" borderId="1" xfId="0" applyNumberFormat="1" applyFont="1" applyFill="1" applyBorder="1" applyAlignment="1">
      <alignment horizontal="center"/>
    </xf>
    <xf numFmtId="0" fontId="9" fillId="0" borderId="0" xfId="0" applyFont="1"/>
    <xf numFmtId="0" fontId="10" fillId="0" borderId="0" xfId="0" applyFont="1"/>
    <xf numFmtId="0" fontId="12" fillId="5" borderId="1" xfId="0" applyFont="1" applyFill="1" applyBorder="1" applyAlignment="1">
      <alignment horizontal="left" indent="1"/>
    </xf>
    <xf numFmtId="0" fontId="12" fillId="5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left" indent="1"/>
    </xf>
    <xf numFmtId="9" fontId="9" fillId="0" borderId="1" xfId="0" applyNumberFormat="1" applyFont="1" applyBorder="1" applyAlignment="1">
      <alignment horizontal="center"/>
    </xf>
    <xf numFmtId="165" fontId="9" fillId="0" borderId="1" xfId="0" applyNumberFormat="1" applyFont="1" applyBorder="1" applyAlignment="1">
      <alignment horizontal="center"/>
    </xf>
    <xf numFmtId="0" fontId="16" fillId="2" borderId="0" xfId="0" applyFont="1" applyFill="1" applyAlignment="1">
      <alignment horizontal="center"/>
    </xf>
    <xf numFmtId="164" fontId="9" fillId="0" borderId="0" xfId="0" applyNumberFormat="1" applyFont="1" applyAlignment="1">
      <alignment horizontal="center"/>
    </xf>
    <xf numFmtId="0" fontId="17" fillId="0" borderId="0" xfId="0" applyFont="1" applyAlignment="1">
      <alignment wrapText="1"/>
    </xf>
    <xf numFmtId="0" fontId="14" fillId="0" borderId="0" xfId="0" applyFont="1"/>
    <xf numFmtId="0" fontId="19" fillId="4" borderId="0" xfId="0" applyFont="1" applyFill="1" applyAlignment="1">
      <alignment horizontal="center" wrapText="1"/>
    </xf>
    <xf numFmtId="0" fontId="20" fillId="4" borderId="0" xfId="0" applyFont="1" applyFill="1" applyAlignment="1">
      <alignment horizontal="center" vertical="center" wrapText="1"/>
    </xf>
    <xf numFmtId="0" fontId="5" fillId="5" borderId="1" xfId="0" applyFont="1" applyFill="1" applyBorder="1" applyAlignment="1">
      <alignment horizontal="center"/>
    </xf>
    <xf numFmtId="165" fontId="9" fillId="8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C79E"/>
      <rgbColor rgb="FF71875F"/>
      <rgbColor rgb="FF9999FF"/>
      <rgbColor rgb="FFB5502E"/>
      <rgbColor rgb="FFFBF6EC"/>
      <rgbColor rgb="FFCCFFFF"/>
      <rgbColor rgb="FF660066"/>
      <rgbColor rgb="FFFF8080"/>
      <rgbColor rgb="FF1155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3E9D3"/>
      <rgbColor rgb="FFF8E9C7"/>
      <rgbColor rgb="FF99CCFF"/>
      <rgbColor rgb="FFFF99CC"/>
      <rgbColor rgb="FFCC99FF"/>
      <rgbColor rgb="FFF6DDD6"/>
      <rgbColor rgb="FF3366FF"/>
      <rgbColor rgb="FF33CCCC"/>
      <rgbColor rgb="FF99CC00"/>
      <rgbColor rgb="FFFFCC00"/>
      <rgbColor rgb="FFD9A441"/>
      <rgbColor rgb="FFFF6600"/>
      <rgbColor rgb="FF5B5347"/>
      <rgbColor rgb="FF969696"/>
      <rgbColor rgb="FF003366"/>
      <rgbColor rgb="FF339966"/>
      <rgbColor rgb="FF003300"/>
      <rgbColor rgb="FF333300"/>
      <rgbColor rgb="FF8E3B22"/>
      <rgbColor rgb="FF993366"/>
      <rgbColor rgb="FF333399"/>
      <rgbColor rgb="FF2E2A2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E3B22"/>
    <pageSetUpPr fitToPage="1"/>
  </sheetPr>
  <dimension ref="B2:E29"/>
  <sheetViews>
    <sheetView showGridLines="0" zoomScaleNormal="100" workbookViewId="0">
      <pane xSplit="1" ySplit="6" topLeftCell="B26" activePane="bottomRight" state="frozen"/>
      <selection pane="topRight" activeCell="B1" sqref="B1"/>
      <selection pane="bottomLeft" activeCell="A7" sqref="A7"/>
      <selection pane="bottomRight" activeCell="F2" sqref="F2"/>
    </sheetView>
  </sheetViews>
  <sheetFormatPr defaultColWidth="8.7109375" defaultRowHeight="15" x14ac:dyDescent="0.25"/>
  <cols>
    <col min="1" max="1" width="3" customWidth="1"/>
    <col min="2" max="2" width="34" customWidth="1"/>
    <col min="3" max="5" width="18" customWidth="1"/>
    <col min="6" max="6" width="3" customWidth="1"/>
  </cols>
  <sheetData>
    <row r="2" spans="2:5" ht="25.5" customHeight="1" x14ac:dyDescent="0.25">
      <c r="B2" s="14" t="s">
        <v>41</v>
      </c>
      <c r="C2" s="14"/>
      <c r="D2" s="14"/>
      <c r="E2" s="14"/>
    </row>
    <row r="3" spans="2:5" ht="19.5" customHeight="1" x14ac:dyDescent="0.25">
      <c r="B3" s="13" t="s">
        <v>0</v>
      </c>
      <c r="C3" s="13"/>
      <c r="D3" s="13"/>
      <c r="E3" s="13"/>
    </row>
    <row r="5" spans="2:5" ht="15" customHeight="1" x14ac:dyDescent="0.25">
      <c r="B5" s="12" t="s">
        <v>1</v>
      </c>
      <c r="C5" s="12"/>
      <c r="D5" s="12"/>
      <c r="E5" s="12"/>
    </row>
    <row r="6" spans="2:5" ht="30" customHeight="1" x14ac:dyDescent="0.25">
      <c r="B6" s="12"/>
      <c r="C6" s="12"/>
      <c r="D6" s="12"/>
      <c r="E6" s="12"/>
    </row>
    <row r="8" spans="2:5" ht="19.5" customHeight="1" x14ac:dyDescent="0.25">
      <c r="B8" s="11" t="s">
        <v>2</v>
      </c>
      <c r="C8" s="11"/>
      <c r="D8" s="11"/>
      <c r="E8" s="11"/>
    </row>
    <row r="9" spans="2:5" ht="15.75" x14ac:dyDescent="0.25">
      <c r="B9" s="15" t="s">
        <v>3</v>
      </c>
      <c r="C9" s="16">
        <v>12</v>
      </c>
    </row>
    <row r="10" spans="2:5" x14ac:dyDescent="0.25">
      <c r="B10" s="15" t="s">
        <v>4</v>
      </c>
      <c r="C10" s="10" t="s">
        <v>5</v>
      </c>
      <c r="D10" s="10"/>
      <c r="E10" s="10"/>
    </row>
    <row r="11" spans="2:5" ht="15.75" x14ac:dyDescent="0.25">
      <c r="B11" s="15" t="s">
        <v>6</v>
      </c>
      <c r="C11" s="16">
        <v>2</v>
      </c>
    </row>
    <row r="12" spans="2:5" x14ac:dyDescent="0.25">
      <c r="B12" s="17" t="s">
        <v>7</v>
      </c>
      <c r="C12" s="18"/>
    </row>
    <row r="14" spans="2:5" ht="19.5" customHeight="1" x14ac:dyDescent="0.25">
      <c r="B14" s="9" t="s">
        <v>8</v>
      </c>
      <c r="C14" s="9"/>
      <c r="D14" s="9"/>
      <c r="E14" s="9"/>
    </row>
    <row r="15" spans="2:5" x14ac:dyDescent="0.25">
      <c r="B15" s="19" t="s">
        <v>9</v>
      </c>
      <c r="C15" s="8">
        <f>IF(C12="",INDEX(Lookup!$B$2:$B$8,MATCH(C10,Lookup!$A$2:$A$8,0)),C12)</f>
        <v>2.5000000000000001E-2</v>
      </c>
      <c r="D15" s="8"/>
      <c r="E15" s="8"/>
    </row>
    <row r="16" spans="2:5" ht="18" x14ac:dyDescent="0.25">
      <c r="B16" s="20" t="s">
        <v>10</v>
      </c>
      <c r="C16" s="7">
        <f>C9*1000*C15</f>
        <v>300</v>
      </c>
      <c r="D16" s="7"/>
      <c r="E16" s="7"/>
    </row>
    <row r="17" spans="2:5" x14ac:dyDescent="0.25">
      <c r="B17" s="19" t="s">
        <v>11</v>
      </c>
      <c r="C17" s="6">
        <f>C16/C11</f>
        <v>150</v>
      </c>
      <c r="D17" s="6"/>
      <c r="E17" s="6"/>
    </row>
    <row r="19" spans="2:5" ht="19.5" customHeight="1" x14ac:dyDescent="0.25">
      <c r="B19" s="11" t="s">
        <v>12</v>
      </c>
      <c r="C19" s="11"/>
      <c r="D19" s="11"/>
      <c r="E19" s="11"/>
    </row>
    <row r="20" spans="2:5" x14ac:dyDescent="0.25">
      <c r="B20" s="21" t="s">
        <v>13</v>
      </c>
      <c r="C20" s="22" t="s">
        <v>14</v>
      </c>
      <c r="D20" s="22" t="s">
        <v>15</v>
      </c>
      <c r="E20" s="22" t="s">
        <v>16</v>
      </c>
    </row>
    <row r="21" spans="2:5" x14ac:dyDescent="0.25">
      <c r="B21" s="23" t="s">
        <v>17</v>
      </c>
      <c r="C21" s="24">
        <v>0.5</v>
      </c>
      <c r="D21" s="25">
        <f>C16*C21</f>
        <v>150</v>
      </c>
      <c r="E21" s="25">
        <f>C17*C21</f>
        <v>75</v>
      </c>
    </row>
    <row r="22" spans="2:5" x14ac:dyDescent="0.25">
      <c r="B22" s="23" t="s">
        <v>18</v>
      </c>
      <c r="C22" s="24">
        <v>0.3</v>
      </c>
      <c r="D22" s="25">
        <f>C16*C22</f>
        <v>90</v>
      </c>
      <c r="E22" s="25">
        <f>C17*C22</f>
        <v>45</v>
      </c>
    </row>
    <row r="23" spans="2:5" x14ac:dyDescent="0.25">
      <c r="B23" s="23" t="s">
        <v>19</v>
      </c>
      <c r="C23" s="24">
        <v>0.2</v>
      </c>
      <c r="D23" s="25">
        <f>C16*C23</f>
        <v>60</v>
      </c>
      <c r="E23" s="25">
        <f>C17*C23</f>
        <v>30</v>
      </c>
    </row>
    <row r="25" spans="2:5" ht="15" customHeight="1" x14ac:dyDescent="0.25">
      <c r="B25" s="5" t="s">
        <v>20</v>
      </c>
      <c r="C25" s="5"/>
      <c r="D25" s="5"/>
      <c r="E25" s="5"/>
    </row>
    <row r="26" spans="2:5" ht="15" customHeight="1" x14ac:dyDescent="0.25">
      <c r="B26" s="5"/>
      <c r="C26" s="5"/>
      <c r="D26" s="5"/>
      <c r="E26" s="5"/>
    </row>
    <row r="27" spans="2:5" ht="15" customHeight="1" x14ac:dyDescent="0.25">
      <c r="B27" s="5"/>
      <c r="C27" s="5"/>
      <c r="D27" s="5"/>
      <c r="E27" s="5"/>
    </row>
    <row r="29" spans="2:5" x14ac:dyDescent="0.25">
      <c r="B29" s="4" t="s">
        <v>21</v>
      </c>
      <c r="C29" s="4"/>
      <c r="D29" s="4"/>
      <c r="E29" s="4"/>
    </row>
  </sheetData>
  <mergeCells count="12">
    <mergeCell ref="B25:E27"/>
    <mergeCell ref="B29:E29"/>
    <mergeCell ref="B14:E14"/>
    <mergeCell ref="C15:E15"/>
    <mergeCell ref="C16:E16"/>
    <mergeCell ref="C17:E17"/>
    <mergeCell ref="B19:E19"/>
    <mergeCell ref="B2:E2"/>
    <mergeCell ref="B3:E3"/>
    <mergeCell ref="B5:E6"/>
    <mergeCell ref="B8:E8"/>
    <mergeCell ref="C10:E10"/>
  </mergeCells>
  <pageMargins left="0.4" right="0.4" top="0.5" bottom="0.5" header="0.511811023622047" footer="0.511811023622047"/>
  <pageSetup fitToHeight="0" orientation="landscape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Title="Invalid entry" error="Please choose a life stage from the list." promptTitle="Life Stage" prompt="Choose the life stage / activity level that best matches your dog." xr:uid="{00000000-0002-0000-0000-000000000000}">
          <x14:formula1>
            <xm:f>Lookup!$A$2:$A$8</xm:f>
          </x14:formula1>
          <x14:formula2>
            <xm:f>0</xm:f>
          </x14:formula2>
          <xm:sqref>C10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9A441"/>
    <pageSetUpPr fitToPage="1"/>
  </sheetPr>
  <dimension ref="A1:C10"/>
  <sheetViews>
    <sheetView zoomScaleNormal="100" workbookViewId="0"/>
  </sheetViews>
  <sheetFormatPr defaultColWidth="8.7109375" defaultRowHeight="15" x14ac:dyDescent="0.25"/>
  <cols>
    <col min="1" max="1" width="34" customWidth="1"/>
    <col min="2" max="2" width="14" customWidth="1"/>
    <col min="3" max="3" width="55" customWidth="1"/>
  </cols>
  <sheetData>
    <row r="1" spans="1:3" x14ac:dyDescent="0.25">
      <c r="A1" s="26" t="s">
        <v>4</v>
      </c>
      <c r="B1" s="26" t="s">
        <v>22</v>
      </c>
      <c r="C1" s="26" t="s">
        <v>23</v>
      </c>
    </row>
    <row r="2" spans="1:3" x14ac:dyDescent="0.25">
      <c r="A2" s="19" t="s">
        <v>24</v>
      </c>
      <c r="B2" s="27">
        <v>4.4999999999999998E-2</v>
      </c>
      <c r="C2" s="28" t="s">
        <v>25</v>
      </c>
    </row>
    <row r="3" spans="1:3" x14ac:dyDescent="0.25">
      <c r="A3" s="19" t="s">
        <v>26</v>
      </c>
      <c r="B3" s="27">
        <v>0.05</v>
      </c>
      <c r="C3" s="28" t="s">
        <v>27</v>
      </c>
    </row>
    <row r="4" spans="1:3" x14ac:dyDescent="0.25">
      <c r="A4" s="19" t="s">
        <v>28</v>
      </c>
      <c r="B4" s="27">
        <v>1.7500000000000002E-2</v>
      </c>
      <c r="C4" s="28" t="s">
        <v>29</v>
      </c>
    </row>
    <row r="5" spans="1:3" x14ac:dyDescent="0.25">
      <c r="A5" s="19" t="s">
        <v>5</v>
      </c>
      <c r="B5" s="27">
        <v>2.5000000000000001E-2</v>
      </c>
      <c r="C5" s="28" t="s">
        <v>30</v>
      </c>
    </row>
    <row r="6" spans="1:3" x14ac:dyDescent="0.25">
      <c r="A6" s="19" t="s">
        <v>31</v>
      </c>
      <c r="B6" s="27">
        <v>0.03</v>
      </c>
      <c r="C6" s="28" t="s">
        <v>32</v>
      </c>
    </row>
    <row r="7" spans="1:3" x14ac:dyDescent="0.25">
      <c r="A7" s="19" t="s">
        <v>33</v>
      </c>
      <c r="B7" s="27">
        <v>1.7500000000000002E-2</v>
      </c>
      <c r="C7" s="28" t="s">
        <v>34</v>
      </c>
    </row>
    <row r="8" spans="1:3" x14ac:dyDescent="0.25">
      <c r="A8" s="19" t="s">
        <v>35</v>
      </c>
      <c r="B8" s="27">
        <v>0.02</v>
      </c>
      <c r="C8" s="28" t="s">
        <v>36</v>
      </c>
    </row>
    <row r="10" spans="1:3" x14ac:dyDescent="0.25">
      <c r="A10" s="29" t="s">
        <v>37</v>
      </c>
    </row>
  </sheetData>
  <pageMargins left="0.4" right="0.4" top="0.5" bottom="0.5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1875F"/>
    <pageSetUpPr fitToPage="1"/>
  </sheetPr>
  <dimension ref="B2:I19"/>
  <sheetViews>
    <sheetView showGridLines="0" tabSelected="1" zoomScaleNormal="100" workbookViewId="0">
      <pane xSplit="2" ySplit="5" topLeftCell="C12" activePane="bottomRight" state="frozen"/>
      <selection pane="topRight" activeCell="C1" sqref="C1"/>
      <selection pane="bottomLeft" activeCell="A6" sqref="A6"/>
      <selection pane="bottomRight" activeCell="L20" sqref="L20"/>
    </sheetView>
  </sheetViews>
  <sheetFormatPr defaultColWidth="8.7109375" defaultRowHeight="15" x14ac:dyDescent="0.25"/>
  <cols>
    <col min="1" max="1" width="2" customWidth="1"/>
    <col min="2" max="2" width="14" customWidth="1"/>
    <col min="3" max="9" width="15" customWidth="1"/>
  </cols>
  <sheetData>
    <row r="2" spans="2:9" ht="21.75" customHeight="1" x14ac:dyDescent="0.25">
      <c r="B2" s="3" t="s">
        <v>38</v>
      </c>
      <c r="C2" s="3"/>
      <c r="D2" s="3"/>
      <c r="E2" s="3"/>
      <c r="F2" s="3"/>
      <c r="G2" s="3"/>
      <c r="H2" s="3"/>
      <c r="I2" s="3"/>
    </row>
    <row r="3" spans="2:9" x14ac:dyDescent="0.25">
      <c r="B3" s="2" t="s">
        <v>39</v>
      </c>
      <c r="C3" s="2"/>
      <c r="D3" s="2"/>
      <c r="E3" s="2"/>
      <c r="F3" s="2"/>
      <c r="G3" s="2"/>
      <c r="H3" s="2"/>
      <c r="I3" s="2"/>
    </row>
    <row r="5" spans="2:9" ht="31.5" customHeight="1" x14ac:dyDescent="0.25">
      <c r="B5" s="30" t="s">
        <v>40</v>
      </c>
      <c r="C5" s="31" t="s">
        <v>24</v>
      </c>
      <c r="D5" s="31" t="s">
        <v>28</v>
      </c>
      <c r="E5" s="31" t="s">
        <v>5</v>
      </c>
      <c r="F5" s="31" t="s">
        <v>31</v>
      </c>
      <c r="G5" s="31" t="s">
        <v>33</v>
      </c>
      <c r="H5" s="31" t="s">
        <v>35</v>
      </c>
    </row>
    <row r="6" spans="2:9" x14ac:dyDescent="0.25">
      <c r="B6" s="32">
        <v>2</v>
      </c>
      <c r="C6" s="33">
        <f>$B6*1000*INDEX(Lookup!$B$2:$B$8,MATCH("Puppy - Growth",Lookup!$A$2:$A$8,0))</f>
        <v>90</v>
      </c>
      <c r="D6" s="33">
        <f>$B6*1000*INDEX(Lookup!$B$2:$B$8,MATCH("Adult - Sedentary / Overweight",Lookup!$A$2:$A$8,0))</f>
        <v>35</v>
      </c>
      <c r="E6" s="33">
        <f>$B6*1000*INDEX(Lookup!$B$2:$B$8,MATCH("Adult - Normal Activity",Lookup!$A$2:$A$8,0))</f>
        <v>50</v>
      </c>
      <c r="F6" s="33">
        <f>$B6*1000*INDEX(Lookup!$B$2:$B$8,MATCH("Adult - Active / Working",Lookup!$A$2:$A$8,0))</f>
        <v>60</v>
      </c>
      <c r="G6" s="33">
        <f>$B6*1000*INDEX(Lookup!$B$2:$B$8,MATCH("Senior - Low Activity",Lookup!$A$2:$A$8,0))</f>
        <v>35</v>
      </c>
      <c r="H6" s="33">
        <f>$B6*1000*INDEX(Lookup!$B$2:$B$8,MATCH("Senior - Active",Lookup!$A$2:$A$8,0))</f>
        <v>40</v>
      </c>
    </row>
    <row r="7" spans="2:9" x14ac:dyDescent="0.25">
      <c r="B7" s="32">
        <v>5</v>
      </c>
      <c r="C7" s="25">
        <f>$B7*1000*INDEX(Lookup!$B$2:$B$8,MATCH("Puppy - Growth",Lookup!$A$2:$A$8,0))</f>
        <v>225</v>
      </c>
      <c r="D7" s="25">
        <f>$B7*1000*INDEX(Lookup!$B$2:$B$8,MATCH("Adult - Sedentary / Overweight",Lookup!$A$2:$A$8,0))</f>
        <v>87.500000000000014</v>
      </c>
      <c r="E7" s="25">
        <f>$B7*1000*INDEX(Lookup!$B$2:$B$8,MATCH("Adult - Normal Activity",Lookup!$A$2:$A$8,0))</f>
        <v>125</v>
      </c>
      <c r="F7" s="25">
        <f>$B7*1000*INDEX(Lookup!$B$2:$B$8,MATCH("Adult - Active / Working",Lookup!$A$2:$A$8,0))</f>
        <v>150</v>
      </c>
      <c r="G7" s="25">
        <f>$B7*1000*INDEX(Lookup!$B$2:$B$8,MATCH("Senior - Low Activity",Lookup!$A$2:$A$8,0))</f>
        <v>87.500000000000014</v>
      </c>
      <c r="H7" s="25">
        <f>$B7*1000*INDEX(Lookup!$B$2:$B$8,MATCH("Senior - Active",Lookup!$A$2:$A$8,0))</f>
        <v>100</v>
      </c>
    </row>
    <row r="8" spans="2:9" x14ac:dyDescent="0.25">
      <c r="B8" s="32">
        <v>8</v>
      </c>
      <c r="C8" s="33">
        <f>$B8*1000*INDEX(Lookup!$B$2:$B$8,MATCH("Puppy - Growth",Lookup!$A$2:$A$8,0))</f>
        <v>360</v>
      </c>
      <c r="D8" s="33">
        <f>$B8*1000*INDEX(Lookup!$B$2:$B$8,MATCH("Adult - Sedentary / Overweight",Lookup!$A$2:$A$8,0))</f>
        <v>140</v>
      </c>
      <c r="E8" s="33">
        <f>$B8*1000*INDEX(Lookup!$B$2:$B$8,MATCH("Adult - Normal Activity",Lookup!$A$2:$A$8,0))</f>
        <v>200</v>
      </c>
      <c r="F8" s="33">
        <f>$B8*1000*INDEX(Lookup!$B$2:$B$8,MATCH("Adult - Active / Working",Lookup!$A$2:$A$8,0))</f>
        <v>240</v>
      </c>
      <c r="G8" s="33">
        <f>$B8*1000*INDEX(Lookup!$B$2:$B$8,MATCH("Senior - Low Activity",Lookup!$A$2:$A$8,0))</f>
        <v>140</v>
      </c>
      <c r="H8" s="33">
        <f>$B8*1000*INDEX(Lookup!$B$2:$B$8,MATCH("Senior - Active",Lookup!$A$2:$A$8,0))</f>
        <v>160</v>
      </c>
    </row>
    <row r="9" spans="2:9" x14ac:dyDescent="0.25">
      <c r="B9" s="32">
        <v>10</v>
      </c>
      <c r="C9" s="25">
        <f>$B9*1000*INDEX(Lookup!$B$2:$B$8,MATCH("Puppy - Growth",Lookup!$A$2:$A$8,0))</f>
        <v>450</v>
      </c>
      <c r="D9" s="25">
        <f>$B9*1000*INDEX(Lookup!$B$2:$B$8,MATCH("Adult - Sedentary / Overweight",Lookup!$A$2:$A$8,0))</f>
        <v>175.00000000000003</v>
      </c>
      <c r="E9" s="25">
        <f>$B9*1000*INDEX(Lookup!$B$2:$B$8,MATCH("Adult - Normal Activity",Lookup!$A$2:$A$8,0))</f>
        <v>250</v>
      </c>
      <c r="F9" s="25">
        <f>$B9*1000*INDEX(Lookup!$B$2:$B$8,MATCH("Adult - Active / Working",Lookup!$A$2:$A$8,0))</f>
        <v>300</v>
      </c>
      <c r="G9" s="25">
        <f>$B9*1000*INDEX(Lookup!$B$2:$B$8,MATCH("Senior - Low Activity",Lookup!$A$2:$A$8,0))</f>
        <v>175.00000000000003</v>
      </c>
      <c r="H9" s="25">
        <f>$B9*1000*INDEX(Lookup!$B$2:$B$8,MATCH("Senior - Active",Lookup!$A$2:$A$8,0))</f>
        <v>200</v>
      </c>
    </row>
    <row r="10" spans="2:9" x14ac:dyDescent="0.25">
      <c r="B10" s="32">
        <v>12</v>
      </c>
      <c r="C10" s="33">
        <f>$B10*1000*INDEX(Lookup!$B$2:$B$8,MATCH("Puppy - Growth",Lookup!$A$2:$A$8,0))</f>
        <v>540</v>
      </c>
      <c r="D10" s="33">
        <f>$B10*1000*INDEX(Lookup!$B$2:$B$8,MATCH("Adult - Sedentary / Overweight",Lookup!$A$2:$A$8,0))</f>
        <v>210.00000000000003</v>
      </c>
      <c r="E10" s="33">
        <f>$B10*1000*INDEX(Lookup!$B$2:$B$8,MATCH("Adult - Normal Activity",Lookup!$A$2:$A$8,0))</f>
        <v>300</v>
      </c>
      <c r="F10" s="33">
        <f>$B10*1000*INDEX(Lookup!$B$2:$B$8,MATCH("Adult - Active / Working",Lookup!$A$2:$A$8,0))</f>
        <v>360</v>
      </c>
      <c r="G10" s="33">
        <f>$B10*1000*INDEX(Lookup!$B$2:$B$8,MATCH("Senior - Low Activity",Lookup!$A$2:$A$8,0))</f>
        <v>210.00000000000003</v>
      </c>
      <c r="H10" s="33">
        <f>$B10*1000*INDEX(Lookup!$B$2:$B$8,MATCH("Senior - Active",Lookup!$A$2:$A$8,0))</f>
        <v>240</v>
      </c>
    </row>
    <row r="11" spans="2:9" x14ac:dyDescent="0.25">
      <c r="B11" s="32">
        <v>15</v>
      </c>
      <c r="C11" s="25">
        <f>$B11*1000*INDEX(Lookup!$B$2:$B$8,MATCH("Puppy - Growth",Lookup!$A$2:$A$8,0))</f>
        <v>675</v>
      </c>
      <c r="D11" s="25">
        <f>$B11*1000*INDEX(Lookup!$B$2:$B$8,MATCH("Adult - Sedentary / Overweight",Lookup!$A$2:$A$8,0))</f>
        <v>262.5</v>
      </c>
      <c r="E11" s="25">
        <f>$B11*1000*INDEX(Lookup!$B$2:$B$8,MATCH("Adult - Normal Activity",Lookup!$A$2:$A$8,0))</f>
        <v>375</v>
      </c>
      <c r="F11" s="25">
        <f>$B11*1000*INDEX(Lookup!$B$2:$B$8,MATCH("Adult - Active / Working",Lookup!$A$2:$A$8,0))</f>
        <v>450</v>
      </c>
      <c r="G11" s="25">
        <f>$B11*1000*INDEX(Lookup!$B$2:$B$8,MATCH("Senior - Low Activity",Lookup!$A$2:$A$8,0))</f>
        <v>262.5</v>
      </c>
      <c r="H11" s="25">
        <f>$B11*1000*INDEX(Lookup!$B$2:$B$8,MATCH("Senior - Active",Lookup!$A$2:$A$8,0))</f>
        <v>300</v>
      </c>
    </row>
    <row r="12" spans="2:9" x14ac:dyDescent="0.25">
      <c r="B12" s="32">
        <v>18</v>
      </c>
      <c r="C12" s="33">
        <f>$B12*1000*INDEX(Lookup!$B$2:$B$8,MATCH("Puppy - Growth",Lookup!$A$2:$A$8,0))</f>
        <v>810</v>
      </c>
      <c r="D12" s="33">
        <f>$B12*1000*INDEX(Lookup!$B$2:$B$8,MATCH("Adult - Sedentary / Overweight",Lookup!$A$2:$A$8,0))</f>
        <v>315.00000000000006</v>
      </c>
      <c r="E12" s="33">
        <f>$B12*1000*INDEX(Lookup!$B$2:$B$8,MATCH("Adult - Normal Activity",Lookup!$A$2:$A$8,0))</f>
        <v>450</v>
      </c>
      <c r="F12" s="33">
        <f>$B12*1000*INDEX(Lookup!$B$2:$B$8,MATCH("Adult - Active / Working",Lookup!$A$2:$A$8,0))</f>
        <v>540</v>
      </c>
      <c r="G12" s="33">
        <f>$B12*1000*INDEX(Lookup!$B$2:$B$8,MATCH("Senior - Low Activity",Lookup!$A$2:$A$8,0))</f>
        <v>315.00000000000006</v>
      </c>
      <c r="H12" s="33">
        <f>$B12*1000*INDEX(Lookup!$B$2:$B$8,MATCH("Senior - Active",Lookup!$A$2:$A$8,0))</f>
        <v>360</v>
      </c>
    </row>
    <row r="13" spans="2:9" x14ac:dyDescent="0.25">
      <c r="B13" s="32">
        <v>20</v>
      </c>
      <c r="C13" s="25">
        <f>$B13*1000*INDEX(Lookup!$B$2:$B$8,MATCH("Puppy - Growth",Lookup!$A$2:$A$8,0))</f>
        <v>900</v>
      </c>
      <c r="D13" s="25">
        <f>$B13*1000*INDEX(Lookup!$B$2:$B$8,MATCH("Adult - Sedentary / Overweight",Lookup!$A$2:$A$8,0))</f>
        <v>350.00000000000006</v>
      </c>
      <c r="E13" s="25">
        <f>$B13*1000*INDEX(Lookup!$B$2:$B$8,MATCH("Adult - Normal Activity",Lookup!$A$2:$A$8,0))</f>
        <v>500</v>
      </c>
      <c r="F13" s="25">
        <f>$B13*1000*INDEX(Lookup!$B$2:$B$8,MATCH("Adult - Active / Working",Lookup!$A$2:$A$8,0))</f>
        <v>600</v>
      </c>
      <c r="G13" s="25">
        <f>$B13*1000*INDEX(Lookup!$B$2:$B$8,MATCH("Senior - Low Activity",Lookup!$A$2:$A$8,0))</f>
        <v>350.00000000000006</v>
      </c>
      <c r="H13" s="25">
        <f>$B13*1000*INDEX(Lookup!$B$2:$B$8,MATCH("Senior - Active",Lookup!$A$2:$A$8,0))</f>
        <v>400</v>
      </c>
    </row>
    <row r="14" spans="2:9" x14ac:dyDescent="0.25">
      <c r="B14" s="32">
        <v>25</v>
      </c>
      <c r="C14" s="33">
        <f>$B14*1000*INDEX(Lookup!$B$2:$B$8,MATCH("Puppy - Growth",Lookup!$A$2:$A$8,0))</f>
        <v>1125</v>
      </c>
      <c r="D14" s="33">
        <f>$B14*1000*INDEX(Lookup!$B$2:$B$8,MATCH("Adult - Sedentary / Overweight",Lookup!$A$2:$A$8,0))</f>
        <v>437.50000000000006</v>
      </c>
      <c r="E14" s="33">
        <f>$B14*1000*INDEX(Lookup!$B$2:$B$8,MATCH("Adult - Normal Activity",Lookup!$A$2:$A$8,0))</f>
        <v>625</v>
      </c>
      <c r="F14" s="33">
        <f>$B14*1000*INDEX(Lookup!$B$2:$B$8,MATCH("Adult - Active / Working",Lookup!$A$2:$A$8,0))</f>
        <v>750</v>
      </c>
      <c r="G14" s="33">
        <f>$B14*1000*INDEX(Lookup!$B$2:$B$8,MATCH("Senior - Low Activity",Lookup!$A$2:$A$8,0))</f>
        <v>437.50000000000006</v>
      </c>
      <c r="H14" s="33">
        <f>$B14*1000*INDEX(Lookup!$B$2:$B$8,MATCH("Senior - Active",Lookup!$A$2:$A$8,0))</f>
        <v>500</v>
      </c>
    </row>
    <row r="15" spans="2:9" x14ac:dyDescent="0.25">
      <c r="B15" s="32">
        <v>30</v>
      </c>
      <c r="C15" s="25">
        <f>$B15*1000*INDEX(Lookup!$B$2:$B$8,MATCH("Puppy - Growth",Lookup!$A$2:$A$8,0))</f>
        <v>1350</v>
      </c>
      <c r="D15" s="25">
        <f>$B15*1000*INDEX(Lookup!$B$2:$B$8,MATCH("Adult - Sedentary / Overweight",Lookup!$A$2:$A$8,0))</f>
        <v>525</v>
      </c>
      <c r="E15" s="25">
        <f>$B15*1000*INDEX(Lookup!$B$2:$B$8,MATCH("Adult - Normal Activity",Lookup!$A$2:$A$8,0))</f>
        <v>750</v>
      </c>
      <c r="F15" s="25">
        <f>$B15*1000*INDEX(Lookup!$B$2:$B$8,MATCH("Adult - Active / Working",Lookup!$A$2:$A$8,0))</f>
        <v>900</v>
      </c>
      <c r="G15" s="25">
        <f>$B15*1000*INDEX(Lookup!$B$2:$B$8,MATCH("Senior - Low Activity",Lookup!$A$2:$A$8,0))</f>
        <v>525</v>
      </c>
      <c r="H15" s="25">
        <f>$B15*1000*INDEX(Lookup!$B$2:$B$8,MATCH("Senior - Active",Lookup!$A$2:$A$8,0))</f>
        <v>600</v>
      </c>
    </row>
    <row r="16" spans="2:9" x14ac:dyDescent="0.25">
      <c r="B16" s="32">
        <v>35</v>
      </c>
      <c r="C16" s="33">
        <f>$B16*1000*INDEX(Lookup!$B$2:$B$8,MATCH("Puppy - Growth",Lookup!$A$2:$A$8,0))</f>
        <v>1575</v>
      </c>
      <c r="D16" s="33">
        <f>$B16*1000*INDEX(Lookup!$B$2:$B$8,MATCH("Adult - Sedentary / Overweight",Lookup!$A$2:$A$8,0))</f>
        <v>612.50000000000011</v>
      </c>
      <c r="E16" s="33">
        <f>$B16*1000*INDEX(Lookup!$B$2:$B$8,MATCH("Adult - Normal Activity",Lookup!$A$2:$A$8,0))</f>
        <v>875</v>
      </c>
      <c r="F16" s="33">
        <f>$B16*1000*INDEX(Lookup!$B$2:$B$8,MATCH("Adult - Active / Working",Lookup!$A$2:$A$8,0))</f>
        <v>1050</v>
      </c>
      <c r="G16" s="33">
        <f>$B16*1000*INDEX(Lookup!$B$2:$B$8,MATCH("Senior - Low Activity",Lookup!$A$2:$A$8,0))</f>
        <v>612.50000000000011</v>
      </c>
      <c r="H16" s="33">
        <f>$B16*1000*INDEX(Lookup!$B$2:$B$8,MATCH("Senior - Active",Lookup!$A$2:$A$8,0))</f>
        <v>700</v>
      </c>
    </row>
    <row r="17" spans="2:9" x14ac:dyDescent="0.25">
      <c r="B17" s="32">
        <v>40</v>
      </c>
      <c r="C17" s="25">
        <f>$B17*1000*INDEX(Lookup!$B$2:$B$8,MATCH("Puppy - Growth",Lookup!$A$2:$A$8,0))</f>
        <v>1800</v>
      </c>
      <c r="D17" s="25">
        <f>$B17*1000*INDEX(Lookup!$B$2:$B$8,MATCH("Adult - Sedentary / Overweight",Lookup!$A$2:$A$8,0))</f>
        <v>700.00000000000011</v>
      </c>
      <c r="E17" s="25">
        <f>$B17*1000*INDEX(Lookup!$B$2:$B$8,MATCH("Adult - Normal Activity",Lookup!$A$2:$A$8,0))</f>
        <v>1000</v>
      </c>
      <c r="F17" s="25">
        <f>$B17*1000*INDEX(Lookup!$B$2:$B$8,MATCH("Adult - Active / Working",Lookup!$A$2:$A$8,0))</f>
        <v>1200</v>
      </c>
      <c r="G17" s="25">
        <f>$B17*1000*INDEX(Lookup!$B$2:$B$8,MATCH("Senior - Low Activity",Lookup!$A$2:$A$8,0))</f>
        <v>700.00000000000011</v>
      </c>
      <c r="H17" s="25">
        <f>$B17*1000*INDEX(Lookup!$B$2:$B$8,MATCH("Senior - Active",Lookup!$A$2:$A$8,0))</f>
        <v>800</v>
      </c>
    </row>
    <row r="19" spans="2:9" x14ac:dyDescent="0.25">
      <c r="B19" s="1" t="s">
        <v>42</v>
      </c>
      <c r="C19" s="1"/>
      <c r="D19" s="1"/>
      <c r="E19" s="1"/>
      <c r="F19" s="1"/>
      <c r="G19" s="1"/>
      <c r="H19" s="1"/>
      <c r="I19" s="1"/>
    </row>
  </sheetData>
  <mergeCells count="3">
    <mergeCell ref="B2:I2"/>
    <mergeCell ref="B3:I3"/>
    <mergeCell ref="B19:I19"/>
  </mergeCells>
  <pageMargins left="0.4" right="0.4" top="0.5" bottom="0.5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Calculator</vt:lpstr>
      <vt:lpstr>Lookup</vt:lpstr>
      <vt:lpstr>Quick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Rafael Rovate</cp:lastModifiedBy>
  <cp:revision>0</cp:revision>
  <dcterms:created xsi:type="dcterms:W3CDTF">2026-08-14T10:04:59Z</dcterms:created>
  <dcterms:modified xsi:type="dcterms:W3CDTF">2026-08-14T10:14:04Z</dcterms:modified>
  <dc:language>en-US</dc:language>
</cp:coreProperties>
</file>